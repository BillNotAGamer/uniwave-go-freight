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5820" windowHeight="13900"/>
  </bookViews>
  <sheets>
    <sheet sheetId="7" name="AK" state="visible" r:id="rId4"/>
    <sheet sheetId="1" name="Tax Details" state="visible" r:id="rId5"/>
  </sheets>
  <definedNames>
    <definedName name="_xlnm.Print_Area" localSheetId="0">'AK'!$A1:$E46</definedName>
    <definedName name="_xlnm.Print_Area" localSheetId="1">'Tax Details'!$A1:$J34</definedName>
  </definedNames>
  <calcPr calcId="171027"/>
</workbook>
</file>

<file path=xl/sharedStrings.xml><?xml version="1.0" encoding="utf-8"?>
<sst xmlns="http://schemas.openxmlformats.org/spreadsheetml/2006/main" count="74" uniqueCount="61">
  <si>
    <t>SHIPPING NOTES</t>
  </si>
  <si>
    <t>JOBSHEET No.</t>
  </si>
  <si>
    <t>UNI2510011-AE</t>
  </si>
  <si>
    <t>Mawb/Hawb No.</t>
  </si>
  <si>
    <t xml:space="preserve">999 35245954          </t>
  </si>
  <si>
    <t>SHIPPER</t>
  </si>
  <si>
    <t xml:space="preserve">IMEXPHARM CORPORATION </t>
  </si>
  <si>
    <t>CONSIGNEE</t>
  </si>
  <si>
    <t xml:space="preserve">BURY AT OMBOL LLC </t>
  </si>
  <si>
    <t>AOL</t>
  </si>
  <si>
    <t>SGN</t>
  </si>
  <si>
    <t>AOD / FINAL DEST.</t>
  </si>
  <si>
    <t>UBN</t>
  </si>
  <si>
    <t>ETD</t>
  </si>
  <si>
    <t>ETA</t>
  </si>
  <si>
    <t>VOLUME</t>
  </si>
  <si>
    <t>195 Cartons/NW: 866 KGS / NW: 866 KGS</t>
  </si>
  <si>
    <t>tỷ giá 26,352</t>
  </si>
  <si>
    <t>CARRIER /AGENT</t>
  </si>
  <si>
    <t>SELLING RATE</t>
  </si>
  <si>
    <t>CC</t>
  </si>
  <si>
    <t>PSL</t>
  </si>
  <si>
    <t xml:space="preserve">AF: 1.5/ KGS +500 KGS
Awb: 5/ BL
Hawb + MF: 10/ BL
X- ray: 0.0184/ KGS
Thanh lý tờ khai: 100.000 VND/ tờ 
Handling Fee: $25/ shipment (+500 KGS)
Phí in talon: 400.000 VND</t>
  </si>
  <si>
    <t>Lau vụ: VND 982,044 (Chưa VAT)</t>
  </si>
  <si>
    <t>BUYING RATE</t>
  </si>
  <si>
    <t xml:space="preserve">CA - AF: $1.2 * 875 = $1050
SCC: $0.017 * 875 = $14.88
AWB: $3 + AMS: $5 = $8
Total: $1072.88 ~ VND 28,272,534 (Exchange rate at this time $1 = VND 26,352)</t>
  </si>
  <si>
    <t>TRANSVIET</t>
  </si>
  <si>
    <t>TCS</t>
  </si>
  <si>
    <t xml:space="preserve">Talon/ bốc xếp / soi/ nâng VND </t>
  </si>
  <si>
    <t>A Nguyên</t>
  </si>
  <si>
    <t>TOTAL BUYING RATES</t>
  </si>
  <si>
    <t>NET PROFIT (USD)</t>
  </si>
  <si>
    <t>Date:</t>
  </si>
  <si>
    <t xml:space="preserve">Done by </t>
  </si>
  <si>
    <t>CHECKED BY</t>
  </si>
  <si>
    <t>Approved by</t>
  </si>
  <si>
    <t xml:space="preserve">Sales </t>
  </si>
  <si>
    <t>Director</t>
  </si>
  <si>
    <t>Rachel HO</t>
  </si>
  <si>
    <t>MS. ALISSA</t>
  </si>
  <si>
    <t>INTERNAL TAX DETAILS</t>
  </si>
  <si>
    <t>SELLING TAX DETAILS</t>
  </si>
  <si>
    <t>Section</t>
  </si>
  <si>
    <t>Charge</t>
  </si>
  <si>
    <t>Tax rule</t>
  </si>
  <si>
    <t>Treatment</t>
  </si>
  <si>
    <t>Base excl. VAT</t>
  </si>
  <si>
    <t>VAT %</t>
  </si>
  <si>
    <t>VAT amount</t>
  </si>
  <si>
    <t>Total incl. VAT</t>
  </si>
  <si>
    <t>Override</t>
  </si>
  <si>
    <t>Override reason</t>
  </si>
  <si>
    <t>BUYING TAX DETAILS</t>
  </si>
  <si>
    <t>SUMMARY</t>
  </si>
  <si>
    <t>Selling subtotal excl. VAT</t>
  </si>
  <si>
    <t>Selling VAT</t>
  </si>
  <si>
    <t>Selling total incl. VAT</t>
  </si>
  <si>
    <t>Buying subtotal excl. VAT</t>
  </si>
  <si>
    <t>Buying VAT</t>
  </si>
  <si>
    <t>Buying total incl. VAT</t>
  </si>
  <si>
    <t>Gross profit excl.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</si>
</sst>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"/>
  </numFmts>
  <fonts count="12" x14ac:knownFonts="1">
    <font>
      <color theme="1"/>
      <family val="2"/>
      <scheme val="minor"/>
      <sz val="11"/>
      <name val="Calibri"/>
    </font>
    <font>
      <b/>
      <family val="2"/>
      <sz val="11"/>
      <name val="Arial"/>
    </font>
    <font>
      <family val="2"/>
      <sz val="11"/>
      <name val="Arial"/>
    </font>
    <font>
      <b/>
      <family val="2"/>
      <sz val="24"/>
      <name val="Arial"/>
    </font>
    <font>
      <b/>
      <i/>
      <family val="2"/>
      <sz val="11"/>
      <name val="Arial"/>
    </font>
    <font>
      <i/>
      <family val="2"/>
      <sz val="11"/>
      <name val="Arial"/>
    </font>
    <font>
      <color rgb="FFFF0000"/>
      <family val="2"/>
      <sz val="11"/>
      <name val="Arial"/>
    </font>
    <font>
      <color rgb="FF000000"/>
      <family val="1"/>
      <sz val="13"/>
      <name val="Times New Roman"/>
    </font>
    <font>
      <b/>
      <u/>
      <family val="2"/>
      <sz val="11"/>
      <name val="Arial"/>
    </font>
    <font>
      <b/>
      <sz val="16"/>
    </font>
    <font>
      <b/>
      <color rgb="FFFFFFF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CBD5E1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top"/>
    </xf>
    <xf numFmtId="0" fontId="6" fillId="0" borderId="0" xfId="0" applyFont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9" xfId="0" applyFont="1" applyBorder="1" applyAlignment="1">
      <alignment wrapText="1"/>
    </xf>
    <xf numFmtId="0" fontId="2" fillId="0" borderId="9" xfId="0" applyFont="1" applyBorder="1"/>
    <xf numFmtId="14" fontId="2" fillId="0" borderId="4" xfId="0" applyNumberFormat="1" applyFont="1" applyBorder="1" applyAlignment="1">
      <alignment horizontal="left" wrapText="1"/>
    </xf>
    <xf numFmtId="0" fontId="2" fillId="3" borderId="9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5" borderId="0" xfId="0" applyFont="1" applyFill="1"/>
    <xf numFmtId="0" fontId="2" fillId="0" borderId="15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164" fontId="1" fillId="3" borderId="1" xfId="0" applyNumberFormat="1" applyFont="1" applyFill="1" applyBorder="1" applyAlignment="1">
      <alignment horizontal="right" wrapText="1"/>
    </xf>
    <xf numFmtId="0" fontId="6" fillId="6" borderId="0" xfId="0" applyFont="1" applyFill="1"/>
    <xf numFmtId="0" fontId="2" fillId="6" borderId="0" xfId="0" applyFont="1" applyFill="1"/>
    <xf numFmtId="0" fontId="2" fillId="0" borderId="1" xfId="0" applyFont="1" applyBorder="1" applyAlignment="1">
      <alignment horizontal="center" vertical="center"/>
    </xf>
    <xf numFmtId="164" fontId="2" fillId="6" borderId="0" xfId="0" applyNumberFormat="1" applyFont="1" applyFill="1"/>
    <xf numFmtId="0" fontId="1" fillId="0" borderId="1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wrapText="1"/>
    </xf>
    <xf numFmtId="0" fontId="1" fillId="7" borderId="16" xfId="0" applyFont="1" applyFill="1" applyBorder="1"/>
    <xf numFmtId="0" fontId="1" fillId="7" borderId="17" xfId="0" applyFont="1" applyFill="1" applyBorder="1"/>
    <xf numFmtId="164" fontId="1" fillId="7" borderId="18" xfId="0" applyNumberFormat="1" applyFont="1" applyFill="1" applyBorder="1" applyAlignment="1">
      <alignment horizontal="left"/>
    </xf>
    <xf numFmtId="165" fontId="1" fillId="7" borderId="18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8" borderId="0" xfId="0" applyFont="1" applyFill="1"/>
    <xf numFmtId="0" fontId="11" fillId="9" borderId="19" xfId="0" applyFont="1" applyFill="1" applyBorder="1" applyAlignment="1">
      <alignment vertical="center" wrapText="1"/>
    </xf>
    <xf numFmtId="0" fontId="0" fillId="0" borderId="20" xfId="0" applyBorder="1" applyAlignment="1">
      <alignment vertical="top" wrapText="1"/>
    </xf>
    <xf numFmtId="4" fontId="0" fillId="0" borderId="20" xfId="0" applyNumberFormat="1" applyBorder="1" applyAlignment="1">
      <alignment vertical="top" wrapText="1"/>
    </xf>
    <xf numFmtId="2" fontId="0" fillId="0" borderId="20" xfId="0" applyNumberFormat="1" applyBorder="1" applyAlignment="1">
      <alignment vertical="top" wrapText="1"/>
    </xf>
    <xf numFmtId="4" fontId="0" fillId="0" borderId="0" xfId="0" applyNumberFormat="1"/>
    <xf numFmtId="2" fontId="0" fillId="0" borderId="0" xfId="0" applyNumberFormat="1"/>
    <xf numFmtId="2" fontId="10" fillId="8" borderId="0" xfId="0" applyNumberFormat="1" applyFont="1" applyFill="1"/>
    <xf numFmtId="4" fontId="11" fillId="9" borderId="19" xfId="0" applyNumberFormat="1" applyFont="1" applyFill="1" applyBorder="1" applyAlignment="1">
      <alignment vertical="center" wrapText="1"/>
    </xf>
    <xf numFmtId="2" fontId="11" fillId="9" borderId="19" xfId="0" applyNumberFormat="1" applyFont="1" applyFill="1" applyBorder="1" applyAlignment="1">
      <alignment vertical="center" wrapText="1"/>
    </xf>
    <xf numFmtId="4" fontId="10" fillId="8" borderId="0" xfId="0" applyNumberFormat="1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1866900</xdr:colOff>
      <xdr:row>0</xdr:row>
      <xdr:rowOff>0</xdr:rowOff>
    </xdr:from>
    <xdr:to>
      <xdr:col>3</xdr:col>
      <xdr:colOff>1866900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8" customWidth="1"/>
    <col min="3" max="3" width="24" customWidth="1"/>
    <col min="4" max="4" width="14" customWidth="1"/>
    <col min="5" max="5" width="18" customWidth="1"/>
    <col min="6" max="6" width="10" customWidth="1"/>
    <col min="7" max="8" width="18" customWidth="1"/>
    <col min="9" max="9" width="12" customWidth="1"/>
    <col min="10" max="10" width="34" customWidth="1"/>
  </cols>
  <sheetData>
    <row r="1" spans="1:10" x14ac:dyDescent="0.25">
      <c r="A1" s="63" t="s">
        <v>40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x14ac:dyDescent="0.25">
      <c r="A2" s="64" t="s">
        <v>41</v>
      </c>
      <c r="B2" s="64"/>
      <c r="C2" s="64"/>
      <c r="D2" s="64"/>
      <c r="E2" s="64"/>
      <c r="F2" s="64"/>
      <c r="G2" s="64"/>
      <c r="H2" s="64"/>
      <c r="I2" s="64"/>
      <c r="J2" s="64"/>
    </row>
    <row r="3" spans="1:10" x14ac:dyDescent="0.25">
      <c r="A3" s="65" t="s">
        <v>42</v>
      </c>
      <c r="B3" s="65" t="s">
        <v>43</v>
      </c>
      <c r="C3" s="65" t="s">
        <v>44</v>
      </c>
      <c r="D3" s="65" t="s">
        <v>45</v>
      </c>
      <c r="E3" s="65" t="s">
        <v>46</v>
      </c>
      <c r="F3" s="65" t="s">
        <v>47</v>
      </c>
      <c r="G3" s="65" t="s">
        <v>48</v>
      </c>
      <c r="H3" s="65" t="s">
        <v>49</v>
      </c>
      <c r="I3" s="65" t="s">
        <v>50</v>
      </c>
      <c r="J3" s="65" t="s">
        <v>51</v>
      </c>
    </row>
    <row r="4" ht="28" customHeight="1" spans="1:10" x14ac:dyDescent="0.25">
      <c r="A4" s="66"/>
      <c r="B4" s="67"/>
      <c r="C4" s="66"/>
      <c r="D4" s="66"/>
      <c r="E4" s="67"/>
      <c r="F4" s="68"/>
      <c r="G4" s="67"/>
      <c r="H4" s="67"/>
      <c r="I4" s="66"/>
      <c r="J4" s="66"/>
    </row>
    <row r="5" ht="28" customHeight="1" spans="1:10" x14ac:dyDescent="0.25">
      <c r="A5" s="66"/>
      <c r="B5" s="67"/>
      <c r="C5" s="66"/>
      <c r="D5" s="66"/>
      <c r="E5" s="67"/>
      <c r="F5" s="68"/>
      <c r="G5" s="67"/>
      <c r="H5" s="67"/>
      <c r="I5" s="66"/>
      <c r="J5" s="66"/>
    </row>
    <row r="6" ht="28" customHeight="1" spans="1:10" x14ac:dyDescent="0.25">
      <c r="A6" s="66"/>
      <c r="B6" s="67"/>
      <c r="C6" s="66"/>
      <c r="D6" s="66"/>
      <c r="E6" s="67"/>
      <c r="F6" s="68"/>
      <c r="G6" s="67"/>
      <c r="H6" s="67"/>
      <c r="I6" s="66"/>
      <c r="J6" s="66"/>
    </row>
    <row r="7" ht="28" customHeight="1" spans="1:10" x14ac:dyDescent="0.25">
      <c r="A7" s="66"/>
      <c r="B7" s="67"/>
      <c r="C7" s="66"/>
      <c r="D7" s="66"/>
      <c r="E7" s="67"/>
      <c r="F7" s="68"/>
      <c r="G7" s="67"/>
      <c r="H7" s="67"/>
      <c r="I7" s="66"/>
      <c r="J7" s="66"/>
    </row>
    <row r="8" ht="28" customHeight="1" spans="1:10" x14ac:dyDescent="0.25">
      <c r="A8" s="66"/>
      <c r="B8" s="67"/>
      <c r="C8" s="66"/>
      <c r="D8" s="66"/>
      <c r="E8" s="67"/>
      <c r="F8" s="68"/>
      <c r="G8" s="67"/>
      <c r="H8" s="67"/>
      <c r="I8" s="66"/>
      <c r="J8" s="66"/>
    </row>
    <row r="9" ht="28" customHeight="1" spans="1:10" x14ac:dyDescent="0.25">
      <c r="A9" s="66"/>
      <c r="B9" s="67"/>
      <c r="C9" s="66"/>
      <c r="D9" s="66"/>
      <c r="E9" s="67"/>
      <c r="F9" s="68"/>
      <c r="G9" s="67"/>
      <c r="H9" s="67"/>
      <c r="I9" s="66"/>
      <c r="J9" s="66"/>
    </row>
    <row r="10" ht="28" customHeight="1" spans="1:10" x14ac:dyDescent="0.25">
      <c r="A10" s="66"/>
      <c r="B10" s="67"/>
      <c r="C10" s="66"/>
      <c r="D10" s="66"/>
      <c r="E10" s="67"/>
      <c r="F10" s="68"/>
      <c r="G10" s="67"/>
      <c r="H10" s="67"/>
      <c r="I10" s="66"/>
      <c r="J10" s="66"/>
    </row>
    <row r="11" ht="28" customHeight="1" spans="1:10" x14ac:dyDescent="0.25">
      <c r="A11" s="66"/>
      <c r="B11" s="67"/>
      <c r="C11" s="66"/>
      <c r="D11" s="66"/>
      <c r="E11" s="67"/>
      <c r="F11" s="68"/>
      <c r="G11" s="67"/>
      <c r="H11" s="67"/>
      <c r="I11" s="66"/>
      <c r="J11" s="66"/>
    </row>
    <row r="12" spans="2:8" x14ac:dyDescent="0.25">
      <c r="B12" s="69"/>
      <c r="E12" s="69"/>
      <c r="F12" s="70"/>
      <c r="G12" s="69"/>
      <c r="H12" s="69"/>
    </row>
    <row r="13" spans="1:10" x14ac:dyDescent="0.25">
      <c r="A13" s="71" t="s">
        <v>52</v>
      </c>
      <c r="B13" s="71"/>
      <c r="C13" s="71"/>
      <c r="D13" s="71"/>
      <c r="E13" s="71"/>
      <c r="F13" s="71"/>
      <c r="G13" s="71"/>
      <c r="H13" s="71"/>
      <c r="I13" s="71"/>
      <c r="J13" s="71"/>
    </row>
    <row r="14" spans="1:10" x14ac:dyDescent="0.25">
      <c r="A14" s="65" t="s">
        <v>42</v>
      </c>
      <c r="B14" s="72" t="s">
        <v>43</v>
      </c>
      <c r="C14" s="65" t="s">
        <v>44</v>
      </c>
      <c r="D14" s="65" t="s">
        <v>45</v>
      </c>
      <c r="E14" s="72" t="s">
        <v>46</v>
      </c>
      <c r="F14" s="73" t="s">
        <v>47</v>
      </c>
      <c r="G14" s="72" t="s">
        <v>48</v>
      </c>
      <c r="H14" s="72" t="s">
        <v>49</v>
      </c>
      <c r="I14" s="65" t="s">
        <v>50</v>
      </c>
      <c r="J14" s="65" t="s">
        <v>51</v>
      </c>
    </row>
    <row r="15" ht="28" customHeight="1" spans="1:10" x14ac:dyDescent="0.25">
      <c r="A15" s="66"/>
      <c r="B15" s="67"/>
      <c r="C15" s="66"/>
      <c r="D15" s="66"/>
      <c r="E15" s="67"/>
      <c r="F15" s="68"/>
      <c r="G15" s="67"/>
      <c r="H15" s="67"/>
      <c r="I15" s="66"/>
      <c r="J15" s="66"/>
    </row>
    <row r="16" ht="28" customHeight="1" spans="1:10" x14ac:dyDescent="0.25">
      <c r="A16" s="66"/>
      <c r="B16" s="67"/>
      <c r="C16" s="66"/>
      <c r="D16" s="66"/>
      <c r="E16" s="67"/>
      <c r="F16" s="68"/>
      <c r="G16" s="67"/>
      <c r="H16" s="67"/>
      <c r="I16" s="66"/>
      <c r="J16" s="66"/>
    </row>
    <row r="17" ht="28" customHeight="1" spans="1:10" x14ac:dyDescent="0.25">
      <c r="A17" s="66"/>
      <c r="B17" s="67"/>
      <c r="C17" s="66"/>
      <c r="D17" s="66"/>
      <c r="E17" s="67"/>
      <c r="F17" s="68"/>
      <c r="G17" s="67"/>
      <c r="H17" s="67"/>
      <c r="I17" s="66"/>
      <c r="J17" s="66"/>
    </row>
    <row r="18" ht="28" customHeight="1" spans="1:10" x14ac:dyDescent="0.25">
      <c r="A18" s="66"/>
      <c r="B18" s="67"/>
      <c r="C18" s="66"/>
      <c r="D18" s="66"/>
      <c r="E18" s="67"/>
      <c r="F18" s="68"/>
      <c r="G18" s="67"/>
      <c r="H18" s="67"/>
      <c r="I18" s="66"/>
      <c r="J18" s="66"/>
    </row>
    <row r="19" ht="28" customHeight="1" spans="1:10" x14ac:dyDescent="0.25">
      <c r="A19" s="66"/>
      <c r="B19" s="67"/>
      <c r="C19" s="66"/>
      <c r="D19" s="66"/>
      <c r="E19" s="67"/>
      <c r="F19" s="68"/>
      <c r="G19" s="67"/>
      <c r="H19" s="67"/>
      <c r="I19" s="66"/>
      <c r="J19" s="66"/>
    </row>
    <row r="20" ht="28" customHeight="1" spans="1:10" x14ac:dyDescent="0.25">
      <c r="A20" s="66"/>
      <c r="B20" s="67"/>
      <c r="C20" s="66"/>
      <c r="D20" s="66"/>
      <c r="E20" s="67"/>
      <c r="F20" s="68"/>
      <c r="G20" s="67"/>
      <c r="H20" s="67"/>
      <c r="I20" s="66"/>
      <c r="J20" s="66"/>
    </row>
    <row r="21" ht="28" customHeight="1" spans="1:10" x14ac:dyDescent="0.25">
      <c r="A21" s="66"/>
      <c r="B21" s="67"/>
      <c r="C21" s="66"/>
      <c r="D21" s="66"/>
      <c r="E21" s="67"/>
      <c r="F21" s="68"/>
      <c r="G21" s="67"/>
      <c r="H21" s="67"/>
      <c r="I21" s="66"/>
      <c r="J21" s="66"/>
    </row>
    <row r="22" ht="28" customHeight="1" spans="1:10" x14ac:dyDescent="0.25">
      <c r="A22" s="66"/>
      <c r="B22" s="67"/>
      <c r="C22" s="66"/>
      <c r="D22" s="66"/>
      <c r="E22" s="67"/>
      <c r="F22" s="68"/>
      <c r="G22" s="67"/>
      <c r="H22" s="67"/>
      <c r="I22" s="66"/>
      <c r="J22" s="66"/>
    </row>
    <row r="23" ht="28" customHeight="1" spans="1:10" x14ac:dyDescent="0.25">
      <c r="A23" s="66"/>
      <c r="B23" s="67"/>
      <c r="C23" s="66"/>
      <c r="D23" s="66"/>
      <c r="E23" s="67"/>
      <c r="F23" s="68"/>
      <c r="G23" s="67"/>
      <c r="H23" s="67"/>
      <c r="I23" s="66"/>
      <c r="J23" s="66"/>
    </row>
    <row r="24" ht="28" customHeight="1" spans="1:10" x14ac:dyDescent="0.25">
      <c r="A24" s="66"/>
      <c r="B24" s="67"/>
      <c r="C24" s="66"/>
      <c r="D24" s="66"/>
      <c r="E24" s="67"/>
      <c r="F24" s="68"/>
      <c r="G24" s="67"/>
      <c r="H24" s="67"/>
      <c r="I24" s="66"/>
      <c r="J24" s="66"/>
    </row>
    <row r="25" ht="28" customHeight="1" spans="1:10" x14ac:dyDescent="0.25">
      <c r="A25" s="66"/>
      <c r="B25" s="67"/>
      <c r="C25" s="66"/>
      <c r="D25" s="66"/>
      <c r="E25" s="67"/>
      <c r="F25" s="68"/>
      <c r="G25" s="67"/>
      <c r="H25" s="67"/>
      <c r="I25" s="66"/>
      <c r="J25" s="66"/>
    </row>
    <row r="26" spans="2:8" x14ac:dyDescent="0.25">
      <c r="B26" s="69"/>
      <c r="E26" s="69"/>
      <c r="G26" s="69"/>
      <c r="H26" s="69"/>
    </row>
    <row r="27" spans="1:10" x14ac:dyDescent="0.25">
      <c r="A27" s="74" t="s">
        <v>53</v>
      </c>
      <c r="B27" s="74"/>
      <c r="C27" s="74"/>
      <c r="D27" s="74"/>
      <c r="E27" s="74"/>
      <c r="F27" s="74"/>
      <c r="G27" s="74"/>
      <c r="H27" s="74"/>
      <c r="I27" s="74"/>
      <c r="J27" s="74"/>
    </row>
    <row r="28" spans="1:8" x14ac:dyDescent="0.25">
      <c r="A28" s="75" t="s">
        <v>54</v>
      </c>
      <c r="B28" s="69"/>
      <c r="E28" s="69"/>
      <c r="G28" s="69"/>
      <c r="H28" s="69"/>
    </row>
    <row r="29" spans="1:8" x14ac:dyDescent="0.25">
      <c r="A29" s="75" t="s">
        <v>55</v>
      </c>
      <c r="B29" s="69"/>
      <c r="E29" s="69"/>
      <c r="G29" s="69"/>
      <c r="H29" s="69"/>
    </row>
    <row r="30" spans="1:8" x14ac:dyDescent="0.25">
      <c r="A30" s="75" t="s">
        <v>56</v>
      </c>
      <c r="B30" s="69"/>
      <c r="E30" s="69"/>
      <c r="G30" s="69"/>
      <c r="H30" s="69"/>
    </row>
    <row r="31" spans="1:8" x14ac:dyDescent="0.25">
      <c r="A31" s="75" t="s">
        <v>57</v>
      </c>
      <c r="B31" s="69"/>
      <c r="E31" s="69"/>
      <c r="G31" s="69"/>
      <c r="H31" s="69"/>
    </row>
    <row r="32" spans="1:8" x14ac:dyDescent="0.25">
      <c r="A32" s="75" t="s">
        <v>58</v>
      </c>
      <c r="B32" s="69"/>
      <c r="E32" s="69"/>
      <c r="G32" s="69"/>
      <c r="H32" s="69"/>
    </row>
    <row r="33" spans="1:8" x14ac:dyDescent="0.25">
      <c r="A33" s="75" t="s">
        <v>59</v>
      </c>
      <c r="B33" s="69"/>
      <c r="E33" s="69"/>
      <c r="G33" s="69"/>
      <c r="H33" s="69"/>
    </row>
    <row r="34" spans="1:8" x14ac:dyDescent="0.25">
      <c r="A34" s="75" t="s">
        <v>60</v>
      </c>
      <c r="B34" s="69"/>
      <c r="E34" s="69"/>
      <c r="G34" s="69"/>
      <c r="H34" s="69"/>
    </row>
  </sheetData>
  <mergeCells count="4">
    <mergeCell ref="A1:J1"/>
    <mergeCell ref="A2:J2"/>
    <mergeCell ref="A13:J13"/>
    <mergeCell ref="A27:J27"/>
  </mergeCells>
  <pageMargins left="0.25" right="0.25" top="0.35" bottom="0.35" header="0.2" footer="0.2"/>
  <pageSetup orientation="landscape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AI47"/>
  <sheetViews>
    <sheetView workbookViewId="0" zoomScale="70" zoomScaleNormal="70">
      <selection activeCell="D35" sqref="D35"/>
    </sheetView>
  </sheetViews>
  <sheetFormatPr defaultRowHeight="14" outlineLevelRow="0" outlineLevelCol="0" x14ac:dyDescent="0.3" defaultColWidth="11.453125" customHeight="1"/>
  <cols>
    <col min="1" max="1" width="23.26953125" style="1" customWidth="1"/>
    <col min="2" max="2" width="4.81640625" style="1" customWidth="1"/>
    <col min="3" max="3" width="67.1796875" style="2" customWidth="1"/>
    <col min="4" max="4" width="21.26953125" style="3" customWidth="1"/>
    <col min="5" max="5" width="36.81640625" style="2" customWidth="1"/>
    <col min="6" max="6" width="14.26953125" style="2" customWidth="1"/>
    <col min="7" max="16384" width="11.453125" style="2" customWidth="1"/>
  </cols>
  <sheetData>
    <row r="3" ht="30" customHeight="1" spans="1:5" x14ac:dyDescent="0.25">
      <c r="A3" s="4" t="s">
        <v>0</v>
      </c>
      <c r="B3" s="4"/>
      <c r="C3" s="4"/>
      <c r="D3" s="4"/>
      <c r="E3" s="4"/>
    </row>
    <row r="6" spans="1:3" x14ac:dyDescent="0.25">
      <c r="A6" s="5" t="s">
        <v>1</v>
      </c>
      <c r="B6" s="5"/>
      <c r="C6" s="6" t="s">
        <v>2</v>
      </c>
    </row>
    <row r="7" ht="14.5" customHeight="1" spans="1:3" x14ac:dyDescent="0.25">
      <c r="A7" s="7" t="s">
        <v>3</v>
      </c>
      <c r="B7" s="7"/>
      <c r="C7" s="8" t="s">
        <v>4</v>
      </c>
    </row>
    <row r="8" ht="14.5" customHeight="1" spans="3:3" x14ac:dyDescent="0.25">
      <c r="C8" s="9"/>
    </row>
    <row r="9" ht="34.5" customHeight="1" spans="1:5" s="1" customFormat="1" x14ac:dyDescent="0.25">
      <c r="A9" s="10" t="s">
        <v>5</v>
      </c>
      <c r="B9" s="11"/>
      <c r="C9" s="12" t="s">
        <v>6</v>
      </c>
      <c r="D9" s="13"/>
      <c r="E9" s="14"/>
    </row>
    <row r="10" ht="27" customHeight="1" spans="1:5" x14ac:dyDescent="0.25">
      <c r="A10" s="15" t="s">
        <v>7</v>
      </c>
      <c r="B10" s="16"/>
      <c r="C10" s="12" t="s">
        <v>8</v>
      </c>
      <c r="D10" s="13"/>
      <c r="E10" s="17"/>
    </row>
    <row r="11" ht="29.25" customHeight="1" spans="1:5" x14ac:dyDescent="0.25">
      <c r="A11" s="15" t="s">
        <v>9</v>
      </c>
      <c r="B11" s="16"/>
      <c r="C11" s="12" t="s">
        <v>10</v>
      </c>
      <c r="D11" s="13"/>
      <c r="E11" s="18"/>
    </row>
    <row r="12" ht="23.25" customHeight="1" spans="1:5" x14ac:dyDescent="0.25">
      <c r="A12" s="15" t="s">
        <v>11</v>
      </c>
      <c r="B12" s="16"/>
      <c r="C12" s="12" t="s">
        <v>12</v>
      </c>
      <c r="D12" s="13"/>
      <c r="E12" s="18"/>
    </row>
    <row r="13" ht="27" customHeight="1" spans="1:5" x14ac:dyDescent="0.25">
      <c r="A13" s="15" t="s">
        <v>13</v>
      </c>
      <c r="B13" s="16"/>
      <c r="C13" s="19">
        <v>45954</v>
      </c>
      <c r="D13" s="13"/>
      <c r="E13" s="18"/>
    </row>
    <row r="14" ht="27" customHeight="1" spans="1:5" x14ac:dyDescent="0.25">
      <c r="A14" s="15" t="s">
        <v>14</v>
      </c>
      <c r="B14" s="16"/>
      <c r="C14" s="19"/>
      <c r="D14" s="13"/>
      <c r="E14" s="18"/>
    </row>
    <row r="15" ht="25.5" customHeight="1" spans="1:5" x14ac:dyDescent="0.25">
      <c r="A15" s="15" t="s">
        <v>15</v>
      </c>
      <c r="B15" s="16"/>
      <c r="C15" s="12" t="s">
        <v>16</v>
      </c>
      <c r="D15" s="13"/>
      <c r="E15" s="20" t="s">
        <v>17</v>
      </c>
    </row>
    <row r="16" ht="27" customHeight="1" spans="1:5" x14ac:dyDescent="0.25">
      <c r="A16" s="21" t="s">
        <v>18</v>
      </c>
      <c r="B16" s="22"/>
      <c r="C16" s="23"/>
      <c r="D16" s="24"/>
      <c r="E16" s="18"/>
    </row>
    <row r="17" ht="27" customHeight="1" hidden="1" spans="1:6" x14ac:dyDescent="0.25">
      <c r="A17" s="25" t="s">
        <v>19</v>
      </c>
      <c r="B17" s="26" t="s">
        <v>20</v>
      </c>
      <c r="C17" s="27"/>
      <c r="D17" s="28"/>
      <c r="E17" s="29" t="s">
        <v>21</v>
      </c>
      <c r="F17" s="30"/>
    </row>
    <row r="18" ht="31.5" customHeight="1" hidden="1" spans="1:5" x14ac:dyDescent="0.25">
      <c r="A18" s="31"/>
      <c r="B18" s="32"/>
      <c r="C18" s="33"/>
      <c r="D18" s="28"/>
      <c r="E18" s="29"/>
    </row>
    <row r="19" ht="31.5" customHeight="1" hidden="1" spans="1:5" x14ac:dyDescent="0.25">
      <c r="A19" s="31"/>
      <c r="B19" s="32"/>
      <c r="C19" s="33"/>
      <c r="D19" s="28"/>
      <c r="E19" s="29"/>
    </row>
    <row r="20" ht="31.5" customHeight="1" hidden="1" spans="1:5" x14ac:dyDescent="0.25">
      <c r="A20" s="31"/>
      <c r="B20" s="32"/>
      <c r="C20" s="33"/>
      <c r="D20" s="28"/>
      <c r="E20" s="29"/>
    </row>
    <row r="21" ht="31.5" customHeight="1" hidden="1" spans="1:5" x14ac:dyDescent="0.25">
      <c r="A21" s="31"/>
      <c r="B21" s="32"/>
      <c r="C21" s="33"/>
      <c r="D21" s="28"/>
      <c r="E21" s="29"/>
    </row>
    <row r="22" ht="31.5" customHeight="1" hidden="1" spans="1:5" x14ac:dyDescent="0.25">
      <c r="A22" s="34"/>
      <c r="B22" s="35"/>
      <c r="C22" s="33"/>
      <c r="D22" s="28"/>
      <c r="E22" s="29"/>
    </row>
    <row r="23" ht="98" customHeight="1" spans="1:5" x14ac:dyDescent="0.25">
      <c r="A23" s="34"/>
      <c r="B23" s="35"/>
      <c r="C23" s="36" t="s">
        <v>22</v>
      </c>
      <c r="D23" s="28">
        <f>(1.5*866+15+0.0184*866+25)*26352+500000</f>
        <v>36205231.308800004</v>
      </c>
      <c r="E23" s="37" t="s">
        <v>21</v>
      </c>
    </row>
    <row r="24" spans="1:5" x14ac:dyDescent="0.25">
      <c r="A24" s="34"/>
      <c r="B24" s="35"/>
      <c r="C24" s="33" t="s">
        <v>23</v>
      </c>
      <c r="D24" s="28">
        <v>982044</v>
      </c>
      <c r="E24" s="38"/>
    </row>
    <row r="25" ht="31.5" customHeight="1" spans="1:35" s="39" customFormat="1" x14ac:dyDescent="0.25">
      <c r="A25" s="40"/>
      <c r="B25" s="41"/>
      <c r="C25" s="33"/>
      <c r="D25" s="28"/>
      <c r="E25" s="42">
        <f>D23+D24</f>
        <v>37187275.308800004</v>
      </c>
      <c r="F25" s="43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ht="82.5" customHeight="1" spans="1:35" s="39" customFormat="1" x14ac:dyDescent="0.25">
      <c r="A26" s="31" t="s">
        <v>24</v>
      </c>
      <c r="B26" s="32"/>
      <c r="C26" s="27" t="s">
        <v>25</v>
      </c>
      <c r="D26" s="28">
        <v>28272534</v>
      </c>
      <c r="E26" s="45" t="s">
        <v>26</v>
      </c>
      <c r="F26" s="46"/>
      <c r="G26" s="46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ht="34.5" customHeight="1" hidden="1" spans="1:35" s="39" customFormat="1" x14ac:dyDescent="0.25">
      <c r="A27" s="31"/>
      <c r="B27" s="32"/>
      <c r="C27" s="33"/>
      <c r="D27" s="28"/>
      <c r="E27" s="45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ht="34.5" customHeight="1" hidden="1" spans="1:35" s="39" customFormat="1" x14ac:dyDescent="0.25">
      <c r="A28" s="31"/>
      <c r="B28" s="32"/>
      <c r="C28" s="33"/>
      <c r="D28" s="28"/>
      <c r="E28" s="45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ht="34.5" customHeight="1" hidden="1" spans="1:35" s="39" customFormat="1" x14ac:dyDescent="0.25">
      <c r="A29" s="31"/>
      <c r="B29" s="32"/>
      <c r="C29" s="33"/>
      <c r="D29" s="28"/>
      <c r="E29" s="45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ht="34.5" customHeight="1" hidden="1" spans="1:35" s="39" customFormat="1" x14ac:dyDescent="0.25">
      <c r="A30" s="31"/>
      <c r="B30" s="32"/>
      <c r="C30" s="33"/>
      <c r="D30" s="28"/>
      <c r="E30" s="45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ht="34.5" customHeight="1" hidden="1" spans="1:35" s="39" customFormat="1" x14ac:dyDescent="0.25">
      <c r="A31" s="31"/>
      <c r="B31" s="32"/>
      <c r="C31" s="33"/>
      <c r="D31" s="28"/>
      <c r="E31" s="45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ht="34.5" customHeight="1" hidden="1" spans="1:35" s="39" customFormat="1" x14ac:dyDescent="0.25">
      <c r="A32" s="31"/>
      <c r="B32" s="32"/>
      <c r="C32" s="33"/>
      <c r="D32" s="28"/>
      <c r="E32" s="45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ht="34.5" customHeight="1" hidden="1" spans="1:35" s="39" customFormat="1" x14ac:dyDescent="0.25">
      <c r="A33" s="31"/>
      <c r="B33" s="32"/>
      <c r="C33" s="33"/>
      <c r="D33" s="28"/>
      <c r="E33" s="45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ht="34.5" customHeight="1" hidden="1" spans="1:35" s="39" customFormat="1" x14ac:dyDescent="0.25">
      <c r="A34" s="31"/>
      <c r="B34" s="32"/>
      <c r="C34" s="33"/>
      <c r="D34" s="28"/>
      <c r="E34" s="45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ht="29.25" customHeight="1" spans="1:35" s="39" customFormat="1" x14ac:dyDescent="0.25">
      <c r="A35" s="31"/>
      <c r="B35" s="32"/>
      <c r="C35" s="33" t="s">
        <v>23</v>
      </c>
      <c r="D35" s="28">
        <f>982044/26352</f>
        <v>37.26639344262295</v>
      </c>
      <c r="E35" s="45" t="s">
        <v>27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ht="44.25" customHeight="1" spans="1:35" s="39" customFormat="1" x14ac:dyDescent="0.25">
      <c r="A36" s="31"/>
      <c r="B36" s="32"/>
      <c r="C36" s="33" t="s">
        <v>28</v>
      </c>
      <c r="D36" s="28">
        <v>25</v>
      </c>
      <c r="E36" s="45" t="s">
        <v>29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ht="32.25" customHeight="1" spans="1:35" s="39" customFormat="1" x14ac:dyDescent="0.25">
      <c r="A37" s="47"/>
      <c r="B37" s="48"/>
      <c r="C37" s="49" t="s">
        <v>30</v>
      </c>
      <c r="D37" s="49"/>
      <c r="E37" s="42">
        <f>D26+D35+D36</f>
        <v>28272596.26639344</v>
      </c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ht="27" customHeight="1" spans="1:35" s="39" customFormat="1" x14ac:dyDescent="0.25">
      <c r="A38" s="50" t="s">
        <v>31</v>
      </c>
      <c r="B38" s="51"/>
      <c r="C38" s="51"/>
      <c r="D38" s="52"/>
      <c r="E38" s="53">
        <f>E25-E37</f>
        <v>8914679.042406563</v>
      </c>
      <c r="F38" s="46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 ht="15" customHeight="1" x14ac:dyDescent="0.25"/>
    <row r="40" spans="3:4" x14ac:dyDescent="0.25">
      <c r="C40" s="54" t="s">
        <v>32</v>
      </c>
      <c r="D40" s="55"/>
    </row>
    <row r="41" spans="1:4" s="56" customFormat="1" x14ac:dyDescent="0.25">
      <c r="A41" s="57" t="s">
        <v>33</v>
      </c>
      <c r="B41" s="57"/>
      <c r="C41" s="57" t="s">
        <v>34</v>
      </c>
      <c r="D41" s="58" t="s">
        <v>35</v>
      </c>
    </row>
    <row r="42" spans="1:4" s="1" customFormat="1" x14ac:dyDescent="0.25">
      <c r="A42" s="59" t="s">
        <v>36</v>
      </c>
      <c r="C42" s="59"/>
      <c r="D42" s="60" t="s">
        <v>37</v>
      </c>
    </row>
    <row r="43" spans="3:4" s="1" customFormat="1" x14ac:dyDescent="0.25">
      <c r="C43" s="59"/>
      <c r="D43" s="61"/>
    </row>
    <row r="44" spans="3:4" s="1" customFormat="1" x14ac:dyDescent="0.25">
      <c r="C44" s="59"/>
      <c r="D44" s="61"/>
    </row>
    <row r="45" spans="3:4" s="1" customFormat="1" x14ac:dyDescent="0.25">
      <c r="C45" s="59"/>
      <c r="D45" s="61"/>
    </row>
    <row r="46" spans="1:4" s="1" customFormat="1" x14ac:dyDescent="0.25">
      <c r="A46" s="59" t="s">
        <v>38</v>
      </c>
      <c r="B46" s="59"/>
      <c r="C46" s="59" t="s">
        <v>38</v>
      </c>
      <c r="D46" s="60" t="s">
        <v>39</v>
      </c>
    </row>
    <row r="47" spans="3:3" x14ac:dyDescent="0.25">
      <c r="C47" s="62"/>
    </row>
  </sheetData>
  <mergeCells count="18">
    <mergeCell ref="A3:E3"/>
    <mergeCell ref="A6:B6"/>
    <mergeCell ref="A7:B7"/>
    <mergeCell ref="C9:D9"/>
    <mergeCell ref="C10:D10"/>
    <mergeCell ref="C11:D11"/>
    <mergeCell ref="C12:D12"/>
    <mergeCell ref="C13:D13"/>
    <mergeCell ref="C14:D14"/>
    <mergeCell ref="C15:D15"/>
    <mergeCell ref="C16:D16"/>
    <mergeCell ref="A17:A25"/>
    <mergeCell ref="B17:B25"/>
    <mergeCell ref="E23:E24"/>
    <mergeCell ref="A26:A37"/>
    <mergeCell ref="B26:B37"/>
    <mergeCell ref="E26:E34"/>
    <mergeCell ref="C37:D37"/>
  </mergeCells>
  <pageMargins left="0.47" right="0.17" top="0.48" bottom="0.48" header="0.5" footer="0.5"/>
  <pageSetup orientation="portrait" horizontalDpi="4294967295" verticalDpi="4294967295" scale="66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</vt:lpstr>
      <vt:lpstr>Tax Details</vt:lpstr>
    </vt:vector>
  </TitlesOfParts>
  <Company>JSSVL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NguyenBTN</dc:creator>
  <cp:lastModifiedBy>Trần Thanh Trí Bảo</cp:lastModifiedBy>
  <cp:lastPrinted>2025-03-06T04:13:36Z</cp:lastPrinted>
  <dcterms:created xsi:type="dcterms:W3CDTF">2009-03-26T15:29:13Z</dcterms:created>
  <dcterms:modified xsi:type="dcterms:W3CDTF">2025-12-17T05:13:19Z</dcterms:modified>
</cp:coreProperties>
</file>