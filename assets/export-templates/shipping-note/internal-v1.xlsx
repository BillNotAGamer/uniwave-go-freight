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F122D20-2905-4252-9A9E-78548B7D34D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AK" sheetId="7" r:id="rId1"/>
  </sheets>
  <definedNames>
    <definedName name="_xlnm.Print_Area" localSheetId="0">AK!$A$1:$E$46</definedName>
  </definedNames>
  <calcPr calcId="191029"/>
</workbook>
</file>

<file path=xl/calcChain.xml><?xml version="1.0" encoding="utf-8"?>
<calcChain xmlns="http://schemas.openxmlformats.org/spreadsheetml/2006/main">
  <c r="D23" i="7" l="1"/>
  <c r="E38" i="7"/>
  <c r="E37" i="7"/>
  <c r="E25" i="7"/>
  <c r="D35" i="7"/>
</calcChain>
</file>

<file path=xl/sharedStrings.xml><?xml version="1.0" encoding="utf-8"?>
<sst xmlns="http://schemas.openxmlformats.org/spreadsheetml/2006/main" count="43" uniqueCount="40">
  <si>
    <t>ETA</t>
  </si>
  <si>
    <t>Approved by</t>
  </si>
  <si>
    <t>ETD</t>
  </si>
  <si>
    <t>SHIPPER</t>
  </si>
  <si>
    <t>CONSIGNEE</t>
  </si>
  <si>
    <t>VOLUME</t>
  </si>
  <si>
    <t>SELLING RATE</t>
  </si>
  <si>
    <t>Date:</t>
  </si>
  <si>
    <t xml:space="preserve">Sales </t>
  </si>
  <si>
    <t>Director</t>
  </si>
  <si>
    <t>CHECKED BY</t>
  </si>
  <si>
    <t>CARRIER /AGENT</t>
  </si>
  <si>
    <t>SHIPPING NOTES</t>
  </si>
  <si>
    <t>Mawb/Hawb No.</t>
  </si>
  <si>
    <t>JOBSHEET No.</t>
  </si>
  <si>
    <t>TOTAL BUYING RATES</t>
  </si>
  <si>
    <t>CC</t>
  </si>
  <si>
    <t>NET PROFIT (USD)</t>
  </si>
  <si>
    <t>MS. ALISSA</t>
  </si>
  <si>
    <t xml:space="preserve">Done by </t>
  </si>
  <si>
    <t>Rachel HO</t>
  </si>
  <si>
    <t>BUYING RATE</t>
  </si>
  <si>
    <t xml:space="preserve">IMEXPHARM CORPORATION </t>
  </si>
  <si>
    <t xml:space="preserve">BURY AT OMBOL LLC </t>
  </si>
  <si>
    <t>AOL</t>
  </si>
  <si>
    <t>AOD / FINAL DEST.</t>
  </si>
  <si>
    <t>SGN</t>
  </si>
  <si>
    <t>UBN</t>
  </si>
  <si>
    <t>UNI2510011-AE</t>
  </si>
  <si>
    <t xml:space="preserve">999 35245954          </t>
  </si>
  <si>
    <t>TRANSVIET</t>
  </si>
  <si>
    <t>A Nguyên</t>
  </si>
  <si>
    <t>CA - AF: $1.2 * 875 = $1050
SCC: $0.017 * 875 = $14.88
AWB: $3 + AMS: $5 = $8
Total: $1072.88 ~ VND 28,272,534 (Exchange rate at this time $1 = VND 26,352)</t>
  </si>
  <si>
    <t>Lau vụ: VND 982,044 (Chưa VAT)</t>
  </si>
  <si>
    <t>TCS</t>
  </si>
  <si>
    <t>PSL</t>
  </si>
  <si>
    <t>195 Cartons/NW: 866 KGS / NW: 866 KGS</t>
  </si>
  <si>
    <t>AF: 1.5/ KGS +500 KGS
Awb: 5/ BL
Hawb + MF: 10/ BL
X- ray: 0.0184/ KGS
Thanh lý tờ khai: 100.000 VND/ tờ 
Handling Fee: $25/ shipment (+500 KGS)
Phí in talon: 400.000 VND</t>
  </si>
  <si>
    <t>tỷ giá 26,352</t>
  </si>
  <si>
    <t xml:space="preserve">Talon/ bốc xếp / soi/ nâng VND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</si>
</sst>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$&quot;#,##0.00"/>
    <numFmt numFmtId="165" formatCode="&quot;$&quot;#,##0"/>
  </numFmts>
  <fonts count="13" x14ac:knownFonts="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sz val="8"/>
      <name val="Arial"/>
      <family val="2"/>
    </font>
    <font>
      <sz val="12"/>
      <name val="바탕체"/>
      <family val="1"/>
      <charset val="129"/>
    </font>
    <font>
      <sz val="11"/>
      <color rgb="FFFF0000"/>
      <name val="Arial"/>
      <family val="2"/>
    </font>
    <font>
      <sz val="13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/>
  </cellStyleXfs>
  <cellXfs count="65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6" xfId="0" applyFont="1" applyBorder="1"/>
    <xf numFmtId="0" fontId="4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2" borderId="0" xfId="0" applyFont="1" applyFill="1"/>
    <xf numFmtId="0" fontId="7" fillId="0" borderId="0" xfId="0" applyFont="1"/>
    <xf numFmtId="0" fontId="4" fillId="3" borderId="0" xfId="0" applyFont="1" applyFill="1"/>
    <xf numFmtId="0" fontId="11" fillId="0" borderId="0" xfId="0" applyFont="1"/>
    <xf numFmtId="0" fontId="3" fillId="0" borderId="14" xfId="0" applyFont="1" applyBorder="1"/>
    <xf numFmtId="0" fontId="4" fillId="0" borderId="15" xfId="0" applyFont="1" applyBorder="1"/>
    <xf numFmtId="0" fontId="4" fillId="4" borderId="15" xfId="0" applyFont="1" applyFill="1" applyBorder="1"/>
    <xf numFmtId="0" fontId="3" fillId="6" borderId="16" xfId="0" applyFont="1" applyFill="1" applyBorder="1"/>
    <xf numFmtId="0" fontId="3" fillId="6" borderId="17" xfId="0" applyFont="1" applyFill="1" applyBorder="1"/>
    <xf numFmtId="0" fontId="11" fillId="3" borderId="0" xfId="0" applyFont="1" applyFill="1"/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left" wrapText="1"/>
    </xf>
    <xf numFmtId="164" fontId="4" fillId="3" borderId="0" xfId="0" applyNumberFormat="1" applyFont="1" applyFill="1"/>
    <xf numFmtId="0" fontId="12" fillId="0" borderId="6" xfId="0" applyFont="1" applyBorder="1" applyAlignment="1">
      <alignment horizontal="left" vertical="top" wrapText="1"/>
    </xf>
    <xf numFmtId="165" fontId="3" fillId="6" borderId="18" xfId="1" applyNumberFormat="1" applyFont="1" applyFill="1" applyBorder="1" applyAlignment="1">
      <alignment horizontal="right" wrapText="1"/>
    </xf>
    <xf numFmtId="0" fontId="4" fillId="0" borderId="15" xfId="0" applyFont="1" applyBorder="1" applyAlignment="1">
      <alignment wrapText="1"/>
    </xf>
    <xf numFmtId="164" fontId="4" fillId="0" borderId="0" xfId="0" applyNumberFormat="1" applyFont="1"/>
    <xf numFmtId="164" fontId="4" fillId="5" borderId="6" xfId="1" applyNumberFormat="1" applyFont="1" applyFill="1" applyBorder="1" applyAlignment="1">
      <alignment wrapText="1"/>
    </xf>
    <xf numFmtId="164" fontId="8" fillId="5" borderId="6" xfId="1" applyNumberFormat="1" applyFont="1" applyFill="1" applyBorder="1" applyAlignment="1">
      <alignment wrapText="1"/>
    </xf>
    <xf numFmtId="164" fontId="3" fillId="6" borderId="18" xfId="0" applyNumberFormat="1" applyFont="1" applyFill="1" applyBorder="1" applyAlignment="1">
      <alignment horizontal="left"/>
    </xf>
    <xf numFmtId="164" fontId="4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/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wrapText="1"/>
    </xf>
    <xf numFmtId="164" fontId="3" fillId="4" borderId="6" xfId="1" applyNumberFormat="1" applyFont="1" applyFill="1" applyBorder="1" applyAlignment="1">
      <alignment horizontal="right" wrapText="1"/>
    </xf>
    <xf numFmtId="0" fontId="6" fillId="7" borderId="6" xfId="0" quotePrefix="1" applyFont="1" applyFill="1" applyBorder="1" applyAlignment="1">
      <alignment horizontal="left" vertical="top"/>
    </xf>
    <xf numFmtId="0" fontId="3" fillId="7" borderId="3" xfId="0" applyFont="1" applyFill="1" applyBorder="1"/>
    <xf numFmtId="0" fontId="3" fillId="7" borderId="4" xfId="0" applyFont="1" applyFill="1" applyBorder="1"/>
    <xf numFmtId="0" fontId="4" fillId="0" borderId="6" xfId="0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5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3" fillId="0" borderId="6" xfId="0" applyFont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left" wrapText="1"/>
    </xf>
    <xf numFmtId="0" fontId="4" fillId="7" borderId="7" xfId="0" applyFont="1" applyFill="1" applyBorder="1" applyAlignment="1">
      <alignment horizontal="left" wrapText="1"/>
    </xf>
    <xf numFmtId="0" fontId="4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14" fontId="4" fillId="0" borderId="5" xfId="0" applyNumberFormat="1" applyFont="1" applyBorder="1" applyAlignment="1">
      <alignment horizontal="left" wrapText="1"/>
    </xf>
    <xf numFmtId="0" fontId="4" fillId="4" borderId="6" xfId="0" applyFont="1" applyFill="1" applyBorder="1" applyAlignment="1">
      <alignment horizontal="center" wrapText="1"/>
    </xf>
  </cellXfs>
  <cellStyles count="3">
    <cellStyle name="Comma" xfId="1" builtinId="3"/>
    <cellStyle name="Normal" xfId="0" builtinId="0"/>
    <cellStyle name="표준_Invoice_China Factory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1866900</xdr:colOff>
      <xdr:row>0</xdr:row>
      <xdr:rowOff>0</xdr:rowOff>
    </xdr:from>
    <xdr:to>
      <xdr:col>3</xdr:col>
      <xdr:colOff>1866900</xdr:colOff>
      <xdr:row>6</xdr:row>
      <xdr:rowOff>0</xdr:rowOff>
    </xdr:to>
    <xdr:pic>
      <xdr:nvPicPr>
        <xdr:cNvPr id="13619" name="Picture 1">
          <a:extLst>
            <a:ext uri="{FF2B5EF4-FFF2-40B4-BE49-F238E27FC236}">
              <a16:creationId xmlns:a16="http://schemas.microsoft.com/office/drawing/2014/main" id="{6167395A-DAA4-8443-878A-962748697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4300" y="0"/>
          <a:ext cx="0" cy="127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AI47"/>
  <sheetViews>
    <sheetView tabSelected="1" topLeftCell="A10" zoomScale="70" zoomScaleNormal="70" workbookViewId="0">
      <selection activeCell="D35" sqref="D35"/>
    </sheetView>
  </sheetViews>
  <sheetFormatPr defaultColWidth="11.453125" defaultRowHeight="14" x14ac:dyDescent="0.3"/>
  <cols>
    <col min="1" max="1" width="23.26953125" style="1" customWidth="1"/>
    <col min="2" max="2" width="4.81640625" style="1" customWidth="1"/>
    <col min="3" max="3" width="67.1796875" style="2" customWidth="1"/>
    <col min="4" max="4" width="21.26953125" style="28" customWidth="1"/>
    <col min="5" max="5" width="36.81640625" style="2" customWidth="1"/>
    <col min="6" max="6" width="14.26953125" style="2" bestFit="1" customWidth="1"/>
    <col min="7" max="16384" width="11.453125" style="2"/>
  </cols>
  <sheetData>
    <row r="3" spans="1:5" ht="30" x14ac:dyDescent="0.6">
      <c r="A3" s="43" t="s">
        <v>12</v>
      </c>
      <c r="B3" s="43"/>
      <c r="C3" s="43"/>
      <c r="D3" s="43"/>
      <c r="E3" s="43"/>
    </row>
    <row r="6" spans="1:5" x14ac:dyDescent="0.3">
      <c r="A6" s="54" t="s">
        <v>14</v>
      </c>
      <c r="B6" s="54"/>
      <c r="C6" s="7" t="s">
        <v>28</v>
      </c>
    </row>
    <row r="7" spans="1:5" ht="14.5" x14ac:dyDescent="0.3">
      <c r="A7" s="55" t="s">
        <v>13</v>
      </c>
      <c r="B7" s="55"/>
      <c r="C7" s="39" t="s">
        <v>29</v>
      </c>
    </row>
    <row r="8" spans="1:5" ht="14.5" thickBot="1" x14ac:dyDescent="0.35">
      <c r="C8" s="15"/>
    </row>
    <row r="9" spans="1:5" s="1" customFormat="1" ht="34.5" customHeight="1" x14ac:dyDescent="0.3">
      <c r="A9" s="3" t="s">
        <v>3</v>
      </c>
      <c r="B9" s="4"/>
      <c r="C9" s="52" t="s">
        <v>22</v>
      </c>
      <c r="D9" s="53"/>
      <c r="E9" s="16"/>
    </row>
    <row r="10" spans="1:5" ht="27" customHeight="1" x14ac:dyDescent="0.3">
      <c r="A10" s="5" t="s">
        <v>4</v>
      </c>
      <c r="B10" s="6"/>
      <c r="C10" s="52" t="s">
        <v>23</v>
      </c>
      <c r="D10" s="53"/>
      <c r="E10" s="27"/>
    </row>
    <row r="11" spans="1:5" ht="29.25" customHeight="1" x14ac:dyDescent="0.3">
      <c r="A11" s="5" t="s">
        <v>24</v>
      </c>
      <c r="B11" s="6"/>
      <c r="C11" s="52" t="s">
        <v>26</v>
      </c>
      <c r="D11" s="53"/>
      <c r="E11" s="17"/>
    </row>
    <row r="12" spans="1:5" ht="23.25" customHeight="1" x14ac:dyDescent="0.3">
      <c r="A12" s="5" t="s">
        <v>25</v>
      </c>
      <c r="B12" s="6"/>
      <c r="C12" s="52" t="s">
        <v>27</v>
      </c>
      <c r="D12" s="53"/>
      <c r="E12" s="17"/>
    </row>
    <row r="13" spans="1:5" ht="27" customHeight="1" x14ac:dyDescent="0.3">
      <c r="A13" s="5" t="s">
        <v>2</v>
      </c>
      <c r="B13" s="6"/>
      <c r="C13" s="63">
        <v>45954</v>
      </c>
      <c r="D13" s="53"/>
      <c r="E13" s="17"/>
    </row>
    <row r="14" spans="1:5" ht="27" customHeight="1" x14ac:dyDescent="0.3">
      <c r="A14" s="5" t="s">
        <v>0</v>
      </c>
      <c r="B14" s="6"/>
      <c r="C14" s="63"/>
      <c r="D14" s="53"/>
      <c r="E14" s="17"/>
    </row>
    <row r="15" spans="1:5" ht="25.5" customHeight="1" x14ac:dyDescent="0.3">
      <c r="A15" s="5" t="s">
        <v>5</v>
      </c>
      <c r="B15" s="6"/>
      <c r="C15" s="52" t="s">
        <v>36</v>
      </c>
      <c r="D15" s="53"/>
      <c r="E15" s="18" t="s">
        <v>38</v>
      </c>
    </row>
    <row r="16" spans="1:5" ht="27" customHeight="1" x14ac:dyDescent="0.3">
      <c r="A16" s="40" t="s">
        <v>11</v>
      </c>
      <c r="B16" s="41"/>
      <c r="C16" s="56"/>
      <c r="D16" s="57"/>
      <c r="E16" s="17"/>
    </row>
    <row r="17" spans="1:35" ht="27" hidden="1" customHeight="1" x14ac:dyDescent="0.3">
      <c r="A17" s="44" t="s">
        <v>6</v>
      </c>
      <c r="B17" s="48" t="s">
        <v>16</v>
      </c>
      <c r="C17" s="25"/>
      <c r="D17" s="29"/>
      <c r="E17" s="42" t="s">
        <v>35</v>
      </c>
      <c r="F17" s="22"/>
    </row>
    <row r="18" spans="1:35" ht="31.5" hidden="1" customHeight="1" x14ac:dyDescent="0.3">
      <c r="A18" s="45"/>
      <c r="B18" s="49"/>
      <c r="C18" s="23"/>
      <c r="D18" s="29"/>
      <c r="E18" s="42"/>
    </row>
    <row r="19" spans="1:35" ht="31.5" hidden="1" customHeight="1" x14ac:dyDescent="0.3">
      <c r="A19" s="45"/>
      <c r="B19" s="49"/>
      <c r="C19" s="23"/>
      <c r="D19" s="29"/>
      <c r="E19" s="42"/>
    </row>
    <row r="20" spans="1:35" ht="31.5" hidden="1" customHeight="1" x14ac:dyDescent="0.3">
      <c r="A20" s="45"/>
      <c r="B20" s="49"/>
      <c r="C20" s="23"/>
      <c r="D20" s="29"/>
      <c r="E20" s="42"/>
    </row>
    <row r="21" spans="1:35" ht="31.5" hidden="1" customHeight="1" x14ac:dyDescent="0.3">
      <c r="A21" s="45"/>
      <c r="B21" s="49"/>
      <c r="C21" s="23"/>
      <c r="D21" s="29"/>
      <c r="E21" s="42"/>
    </row>
    <row r="22" spans="1:35" ht="31.5" hidden="1" customHeight="1" x14ac:dyDescent="0.3">
      <c r="A22" s="46"/>
      <c r="B22" s="50"/>
      <c r="C22" s="23"/>
      <c r="D22" s="29"/>
      <c r="E22" s="42"/>
    </row>
    <row r="23" spans="1:35" ht="98" x14ac:dyDescent="0.3">
      <c r="A23" s="46"/>
      <c r="B23" s="50"/>
      <c r="C23" s="37" t="s">
        <v>37</v>
      </c>
      <c r="D23" s="29">
        <f>(1.5*866+15+0.0184*866+25)*26352+500000</f>
        <v>36205231.308800004</v>
      </c>
      <c r="E23" s="58" t="s">
        <v>35</v>
      </c>
    </row>
    <row r="24" spans="1:35" x14ac:dyDescent="0.3">
      <c r="A24" s="46"/>
      <c r="B24" s="50"/>
      <c r="C24" s="23" t="s">
        <v>33</v>
      </c>
      <c r="D24" s="29">
        <v>982044</v>
      </c>
      <c r="E24" s="59"/>
    </row>
    <row r="25" spans="1:35" s="12" customFormat="1" ht="31.5" customHeight="1" x14ac:dyDescent="0.3">
      <c r="A25" s="47"/>
      <c r="B25" s="51"/>
      <c r="C25" s="23"/>
      <c r="D25" s="29"/>
      <c r="E25" s="38">
        <f>D23+D24</f>
        <v>37187275.308800004</v>
      </c>
      <c r="F25" s="21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</row>
    <row r="26" spans="1:35" s="12" customFormat="1" ht="82.5" x14ac:dyDescent="0.3">
      <c r="A26" s="45" t="s">
        <v>21</v>
      </c>
      <c r="B26" s="49"/>
      <c r="C26" s="25" t="s">
        <v>32</v>
      </c>
      <c r="D26" s="29">
        <v>28272534</v>
      </c>
      <c r="E26" s="60" t="s">
        <v>30</v>
      </c>
      <c r="F26" s="24"/>
      <c r="G26" s="2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</row>
    <row r="27" spans="1:35" s="12" customFormat="1" ht="34.5" hidden="1" customHeight="1" x14ac:dyDescent="0.3">
      <c r="A27" s="45"/>
      <c r="B27" s="49"/>
      <c r="C27" s="23"/>
      <c r="D27" s="29"/>
      <c r="E27" s="60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s="12" customFormat="1" ht="34.5" hidden="1" customHeight="1" x14ac:dyDescent="0.3">
      <c r="A28" s="45"/>
      <c r="B28" s="49"/>
      <c r="C28" s="23"/>
      <c r="D28" s="29"/>
      <c r="E28" s="60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</row>
    <row r="29" spans="1:35" s="12" customFormat="1" ht="34.5" hidden="1" customHeight="1" x14ac:dyDescent="0.3">
      <c r="A29" s="45"/>
      <c r="B29" s="49"/>
      <c r="C29" s="23"/>
      <c r="D29" s="29"/>
      <c r="E29" s="60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</row>
    <row r="30" spans="1:35" s="12" customFormat="1" ht="34.5" hidden="1" customHeight="1" x14ac:dyDescent="0.3">
      <c r="A30" s="45"/>
      <c r="B30" s="49"/>
      <c r="C30" s="23"/>
      <c r="D30" s="29"/>
      <c r="E30" s="60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</row>
    <row r="31" spans="1:35" s="12" customFormat="1" ht="34.5" hidden="1" customHeight="1" x14ac:dyDescent="0.3">
      <c r="A31" s="45"/>
      <c r="B31" s="49"/>
      <c r="C31" s="23"/>
      <c r="D31" s="29"/>
      <c r="E31" s="60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</row>
    <row r="32" spans="1:35" s="12" customFormat="1" ht="34.5" hidden="1" customHeight="1" x14ac:dyDescent="0.3">
      <c r="A32" s="45"/>
      <c r="B32" s="49"/>
      <c r="C32" s="23"/>
      <c r="D32" s="29"/>
      <c r="E32" s="60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</row>
    <row r="33" spans="1:35" s="12" customFormat="1" ht="34.5" hidden="1" customHeight="1" x14ac:dyDescent="0.3">
      <c r="A33" s="45"/>
      <c r="B33" s="49"/>
      <c r="C33" s="23"/>
      <c r="D33" s="29"/>
      <c r="E33" s="60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</row>
    <row r="34" spans="1:35" s="12" customFormat="1" ht="34.5" hidden="1" customHeight="1" x14ac:dyDescent="0.3">
      <c r="A34" s="45"/>
      <c r="B34" s="49"/>
      <c r="C34" s="23"/>
      <c r="D34" s="29"/>
      <c r="E34" s="60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</row>
    <row r="35" spans="1:35" s="12" customFormat="1" ht="29.25" customHeight="1" x14ac:dyDescent="0.3">
      <c r="A35" s="45"/>
      <c r="B35" s="49"/>
      <c r="C35" s="23" t="s">
        <v>33</v>
      </c>
      <c r="D35" s="30">
        <f>982044/26352</f>
        <v>37.266393442622949</v>
      </c>
      <c r="E35" s="36" t="s">
        <v>34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</row>
    <row r="36" spans="1:35" s="12" customFormat="1" ht="44.25" customHeight="1" x14ac:dyDescent="0.3">
      <c r="A36" s="45"/>
      <c r="B36" s="49"/>
      <c r="C36" s="23" t="s">
        <v>39</v>
      </c>
      <c r="D36" s="29">
        <v>25</v>
      </c>
      <c r="E36" s="36" t="s">
        <v>31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</row>
    <row r="37" spans="1:35" s="12" customFormat="1" ht="32.25" customHeight="1" x14ac:dyDescent="0.3">
      <c r="A37" s="61"/>
      <c r="B37" s="62"/>
      <c r="C37" s="64" t="s">
        <v>15</v>
      </c>
      <c r="D37" s="64"/>
      <c r="E37" s="38">
        <f>D26+D35+D36</f>
        <v>28272596.266393442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</row>
    <row r="38" spans="1:35" s="12" customFormat="1" ht="27" customHeight="1" thickBot="1" x14ac:dyDescent="0.35">
      <c r="A38" s="19" t="s">
        <v>17</v>
      </c>
      <c r="B38" s="20"/>
      <c r="C38" s="20"/>
      <c r="D38" s="31"/>
      <c r="E38" s="26">
        <f>E25-E37</f>
        <v>8914679.0424065627</v>
      </c>
      <c r="F38" s="2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</row>
    <row r="39" spans="1:35" ht="15" customHeight="1" x14ac:dyDescent="0.3"/>
    <row r="40" spans="1:35" x14ac:dyDescent="0.3">
      <c r="C40" s="8" t="s">
        <v>7</v>
      </c>
      <c r="D40" s="32"/>
    </row>
    <row r="41" spans="1:35" s="13" customFormat="1" x14ac:dyDescent="0.3">
      <c r="A41" s="9" t="s">
        <v>19</v>
      </c>
      <c r="B41" s="9"/>
      <c r="C41" s="9" t="s">
        <v>10</v>
      </c>
      <c r="D41" s="33" t="s">
        <v>1</v>
      </c>
    </row>
    <row r="42" spans="1:35" s="1" customFormat="1" x14ac:dyDescent="0.3">
      <c r="A42" s="10" t="s">
        <v>8</v>
      </c>
      <c r="C42" s="10"/>
      <c r="D42" s="34" t="s">
        <v>9</v>
      </c>
    </row>
    <row r="43" spans="1:35" s="1" customFormat="1" x14ac:dyDescent="0.3">
      <c r="C43" s="10"/>
      <c r="D43" s="35"/>
    </row>
    <row r="44" spans="1:35" s="1" customFormat="1" x14ac:dyDescent="0.3">
      <c r="C44" s="10"/>
      <c r="D44" s="35"/>
    </row>
    <row r="45" spans="1:35" s="1" customFormat="1" x14ac:dyDescent="0.3">
      <c r="C45" s="10"/>
      <c r="D45" s="35"/>
    </row>
    <row r="46" spans="1:35" s="1" customFormat="1" x14ac:dyDescent="0.3">
      <c r="A46" s="10" t="s">
        <v>20</v>
      </c>
      <c r="B46" s="10"/>
      <c r="C46" s="10" t="s">
        <v>20</v>
      </c>
      <c r="D46" s="34" t="s">
        <v>18</v>
      </c>
    </row>
    <row r="47" spans="1:35" x14ac:dyDescent="0.3">
      <c r="C47" s="11"/>
    </row>
  </sheetData>
  <mergeCells count="18">
    <mergeCell ref="E26:E34"/>
    <mergeCell ref="A26:A37"/>
    <mergeCell ref="B26:B37"/>
    <mergeCell ref="C13:D13"/>
    <mergeCell ref="C14:D14"/>
    <mergeCell ref="C37:D37"/>
    <mergeCell ref="A3:E3"/>
    <mergeCell ref="A17:A25"/>
    <mergeCell ref="B17:B25"/>
    <mergeCell ref="C9:D9"/>
    <mergeCell ref="C10:D10"/>
    <mergeCell ref="C11:D11"/>
    <mergeCell ref="C12:D12"/>
    <mergeCell ref="A6:B6"/>
    <mergeCell ref="A7:B7"/>
    <mergeCell ref="C15:D15"/>
    <mergeCell ref="C16:D16"/>
    <mergeCell ref="E23:E24"/>
  </mergeCells>
  <phoneticPr fontId="9" type="noConversion"/>
  <pageMargins left="0.47" right="0.17" top="0.48" bottom="0.48" header="0.5" footer="0.5"/>
  <pageSetup scale="6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AK</vt:lpstr>
      <vt:lpstr>AK!Print_Area</vt:lpstr>
    </vt:vector>
  </TitlesOfParts>
  <Company>JSSVL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NguyenBTN</dc:creator>
  <cp:lastModifiedBy>Trần Thanh Trí Bảo</cp:lastModifiedBy>
  <cp:lastPrinted>2025-03-06T04:13:36Z</cp:lastPrinted>
  <dcterms:created xsi:type="dcterms:W3CDTF">2009-03-26T15:29:13Z</dcterms:created>
  <dcterms:modified xsi:type="dcterms:W3CDTF">2025-12-17T05:13:19Z</dcterms:modified>
</cp:coreProperties>
</file>